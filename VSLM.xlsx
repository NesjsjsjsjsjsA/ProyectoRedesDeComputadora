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\OneDrive\Desktop\"/>
    </mc:Choice>
  </mc:AlternateContent>
  <xr:revisionPtr revIDLastSave="0" documentId="8_{7ACF14CA-E33D-412A-B13D-8A254C62599A}" xr6:coauthVersionLast="47" xr6:coauthVersionMax="47" xr10:uidLastSave="{00000000-0000-0000-0000-000000000000}"/>
  <bookViews>
    <workbookView xWindow="-108" yWindow="-108" windowWidth="23256" windowHeight="12456" xr2:uid="{63A0B89D-8565-4368-8D01-9B2AA10160EA}"/>
  </bookViews>
  <sheets>
    <sheet name="Subnete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20" i="2"/>
  <c r="G21" i="2"/>
  <c r="G22" i="2"/>
  <c r="G15" i="2"/>
  <c r="G6" i="2"/>
  <c r="G7" i="2"/>
  <c r="G8" i="2"/>
  <c r="G9" i="2"/>
  <c r="G10" i="2"/>
  <c r="G11" i="2"/>
  <c r="G12" i="2"/>
  <c r="G13" i="2"/>
  <c r="G14" i="2"/>
  <c r="G5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F22" i="2"/>
  <c r="F21" i="2"/>
  <c r="F20" i="2"/>
  <c r="F19" i="2"/>
  <c r="F18" i="2"/>
  <c r="F17" i="2"/>
  <c r="F16" i="2"/>
  <c r="F15" i="2"/>
  <c r="F6" i="2"/>
  <c r="F8" i="2"/>
  <c r="F9" i="2"/>
  <c r="F10" i="2"/>
  <c r="F11" i="2"/>
  <c r="F12" i="2"/>
  <c r="F13" i="2"/>
  <c r="F14" i="2"/>
  <c r="F5" i="2"/>
  <c r="F7" i="2"/>
  <c r="D24" i="2"/>
  <c r="H16" i="2"/>
  <c r="H17" i="2"/>
  <c r="H18" i="2"/>
  <c r="H19" i="2"/>
  <c r="H20" i="2"/>
  <c r="H21" i="2"/>
  <c r="H22" i="2"/>
  <c r="H15" i="2"/>
  <c r="H6" i="2"/>
  <c r="H7" i="2"/>
  <c r="H8" i="2"/>
  <c r="H9" i="2"/>
  <c r="H10" i="2"/>
  <c r="H11" i="2"/>
  <c r="H12" i="2"/>
  <c r="H13" i="2"/>
  <c r="H14" i="2"/>
  <c r="H5" i="2"/>
  <c r="E16" i="2"/>
  <c r="E17" i="2"/>
  <c r="E18" i="2"/>
  <c r="E19" i="2"/>
  <c r="E20" i="2"/>
  <c r="E21" i="2"/>
  <c r="E22" i="2"/>
  <c r="E15" i="2"/>
  <c r="E6" i="2"/>
  <c r="E7" i="2"/>
  <c r="E8" i="2"/>
  <c r="E9" i="2"/>
  <c r="E10" i="2"/>
  <c r="E11" i="2"/>
  <c r="E12" i="2"/>
  <c r="E13" i="2"/>
  <c r="E14" i="2"/>
  <c r="E5" i="2"/>
  <c r="E24" i="2" l="1"/>
  <c r="K5" i="2"/>
  <c r="J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15" i="2"/>
  <c r="J15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</calcChain>
</file>

<file path=xl/sharedStrings.xml><?xml version="1.0" encoding="utf-8"?>
<sst xmlns="http://schemas.openxmlformats.org/spreadsheetml/2006/main" count="34" uniqueCount="34">
  <si>
    <t>SUBNETEO VLSM — Red Base: 192.168.50.0 /24</t>
  </si>
  <si>
    <t>Departamento</t>
  </si>
  <si>
    <t>Nivel</t>
  </si>
  <si>
    <t>Hosts Necesarios</t>
  </si>
  <si>
    <t>Hosts Disponibles</t>
  </si>
  <si>
    <t>Direccion de Red</t>
  </si>
  <si>
    <t>Mascara Completa</t>
  </si>
  <si>
    <t>Mascara CIDR</t>
  </si>
  <si>
    <t>Primer Host</t>
  </si>
  <si>
    <t>Ultimo Host</t>
  </si>
  <si>
    <t>Broadcast</t>
  </si>
  <si>
    <t>Ventas</t>
  </si>
  <si>
    <t>Cuarto de red N1</t>
  </si>
  <si>
    <t>Administracion</t>
  </si>
  <si>
    <t>Cuarto de red N2</t>
  </si>
  <si>
    <t>Gerencia general</t>
  </si>
  <si>
    <t>Atencion al Cliente</t>
  </si>
  <si>
    <t>Contabilidad</t>
  </si>
  <si>
    <t>Gerencia</t>
  </si>
  <si>
    <t>Servidores</t>
  </si>
  <si>
    <t>Soporte Tecnico</t>
  </si>
  <si>
    <t>Recepción</t>
  </si>
  <si>
    <t>Sala de espera</t>
  </si>
  <si>
    <t>Sala de reuniones</t>
  </si>
  <si>
    <t>Sala de juntas</t>
  </si>
  <si>
    <t>Sala de TI</t>
  </si>
  <si>
    <t>Enlace R1-R2</t>
  </si>
  <si>
    <t>Entre 1 y 2</t>
  </si>
  <si>
    <t>Enlace R2-R3</t>
  </si>
  <si>
    <t>Entre 2 y 3</t>
  </si>
  <si>
    <t>Recursos Humanos</t>
  </si>
  <si>
    <t>TOTAL</t>
  </si>
  <si>
    <t>13 subredes</t>
  </si>
  <si>
    <t>Espacio usado: .0-.111  |  Disponible para crecimiento: .112-.254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</si>
</sst>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i/>
      <sz val="10"/>
      <color rgb="FF666666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0" xfId="0" applyAlignment="1">
      <alignment horizontal="center"/>
    </xf>
    <xf numFmtId="16" fontId="3" fillId="5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D03F-A870-4677-B1BD-3B71497661B2}">
  <dimension ref="B2:K41"/>
  <sheetViews>
    <sheetView tabSelected="1" workbookViewId="0">
      <selection activeCell="I27" sqref="I27"/>
    </sheetView>
  </sheetViews>
  <sheetFormatPr defaultColWidth="11.42578125" defaultRowHeight="15" customHeight="1"/>
  <cols>
    <col min="1" max="1" width="5.85546875" customWidth="1"/>
    <col min="2" max="2" width="18.42578125" customWidth="1"/>
    <col min="3" max="3" width="16.85546875" style="9" bestFit="1" customWidth="1"/>
    <col min="4" max="4" width="16.42578125" bestFit="1" customWidth="1"/>
    <col min="5" max="5" width="16.85546875" bestFit="1" customWidth="1"/>
    <col min="6" max="6" width="15.85546875" bestFit="1" customWidth="1"/>
    <col min="7" max="7" width="13.28515625" bestFit="1" customWidth="1"/>
    <col min="8" max="11" width="20.140625" customWidth="1"/>
  </cols>
  <sheetData>
    <row r="2" spans="2:11" ht="32.450000000000003" customHeight="1">
      <c r="C2" s="14" t="s">
        <v>0</v>
      </c>
      <c r="D2" s="14"/>
      <c r="E2" s="14"/>
      <c r="F2" s="14"/>
      <c r="G2" s="14"/>
      <c r="H2" s="14"/>
      <c r="I2" s="14"/>
      <c r="J2" s="14"/>
      <c r="K2" s="14"/>
    </row>
    <row r="4" spans="2:11" ht="31.5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2:11">
      <c r="B5" s="2" t="s">
        <v>11</v>
      </c>
      <c r="C5" s="3">
        <v>1</v>
      </c>
      <c r="D5" s="3">
        <v>5</v>
      </c>
      <c r="E5" s="3">
        <f>POWER(2,3)-2</f>
        <v>6</v>
      </c>
      <c r="F5" s="3" t="str">
        <f>"192.168.50."&amp;0</f>
        <v>192.168.50.0</v>
      </c>
      <c r="G5" s="3" t="str">
        <f>"/"&amp;(32-LOG(POWER(2,3),2))</f>
        <v>/29</v>
      </c>
      <c r="H5" s="3" t="str">
        <f>"255.255.255."&amp;(BIN2DEC(11111000))</f>
        <v>255.255.255.248</v>
      </c>
      <c r="I5" s="3" t="str">
        <f>"192.168.50."&amp;(0+1)</f>
        <v>192.168.50.1</v>
      </c>
      <c r="J5" s="3" t="str">
        <f>"192.168.50."&amp;(0+E5)</f>
        <v>192.168.50.6</v>
      </c>
      <c r="K5" s="3" t="str">
        <f>"192.168.50."&amp;(0+E5+1)</f>
        <v>192.168.50.7</v>
      </c>
    </row>
    <row r="6" spans="2:11">
      <c r="B6" s="4" t="s">
        <v>12</v>
      </c>
      <c r="C6" s="5">
        <v>1</v>
      </c>
      <c r="D6" s="5">
        <v>4</v>
      </c>
      <c r="E6" s="3">
        <f t="shared" ref="E6:E14" si="0">POWER(2,3)-2</f>
        <v>6</v>
      </c>
      <c r="F6" s="3" t="str">
        <f>"192.168.50."&amp;(0+POWER(2,3))</f>
        <v>192.168.50.8</v>
      </c>
      <c r="G6" s="3" t="str">
        <f t="shared" ref="G6:G14" si="1">"/"&amp;(32-LOG(POWER(2,3),2))</f>
        <v>/29</v>
      </c>
      <c r="H6" s="3" t="str">
        <f t="shared" ref="H6:H15" si="2">"255.255.255."&amp;(BIN2DEC(11111000))</f>
        <v>255.255.255.248</v>
      </c>
      <c r="I6" s="3" t="str">
        <f>"192.168.50."&amp;(0+POWER(2,3)+1)</f>
        <v>192.168.50.9</v>
      </c>
      <c r="J6" s="3" t="str">
        <f>"192.168.50."&amp;(0+POWER(2,3)+E6)</f>
        <v>192.168.50.14</v>
      </c>
      <c r="K6" s="3" t="str">
        <f>"192.168.50."&amp;(0+POWER(2,3)+E6+1)</f>
        <v>192.168.50.15</v>
      </c>
    </row>
    <row r="7" spans="2:11">
      <c r="B7" s="4" t="s">
        <v>13</v>
      </c>
      <c r="C7" s="5">
        <v>2</v>
      </c>
      <c r="D7" s="5">
        <v>4</v>
      </c>
      <c r="E7" s="3">
        <f t="shared" si="0"/>
        <v>6</v>
      </c>
      <c r="F7" s="3" t="str">
        <f>"192.168.50."&amp;(0+2*POWER(2,3))</f>
        <v>192.168.50.16</v>
      </c>
      <c r="G7" s="3" t="str">
        <f t="shared" si="1"/>
        <v>/29</v>
      </c>
      <c r="H7" s="3" t="str">
        <f t="shared" si="2"/>
        <v>255.255.255.248</v>
      </c>
      <c r="I7" s="3" t="str">
        <f>"192.168.50."&amp;(0+2*POWER(2,3)+1)</f>
        <v>192.168.50.17</v>
      </c>
      <c r="J7" s="3" t="str">
        <f>"192.168.50."&amp;(0+2*POWER(2,3)+E7)</f>
        <v>192.168.50.22</v>
      </c>
      <c r="K7" s="3" t="str">
        <f>"192.168.50."&amp;(0+2*POWER(2,3)+E7+1)</f>
        <v>192.168.50.23</v>
      </c>
    </row>
    <row r="8" spans="2:11">
      <c r="B8" s="2" t="s">
        <v>14</v>
      </c>
      <c r="C8" s="3">
        <v>2</v>
      </c>
      <c r="D8" s="3">
        <v>4</v>
      </c>
      <c r="E8" s="3">
        <f t="shared" si="0"/>
        <v>6</v>
      </c>
      <c r="F8" s="3" t="str">
        <f>"192.168.50."&amp;(0+3*POWER(2,3))</f>
        <v>192.168.50.24</v>
      </c>
      <c r="G8" s="3" t="str">
        <f t="shared" si="1"/>
        <v>/29</v>
      </c>
      <c r="H8" s="3" t="str">
        <f t="shared" si="2"/>
        <v>255.255.255.248</v>
      </c>
      <c r="I8" s="3" t="str">
        <f>"192.168.50."&amp;(0+3*POWER(2,3)+1)</f>
        <v>192.168.50.25</v>
      </c>
      <c r="J8" s="3" t="str">
        <f>"192.168.50."&amp;(0+3*POWER(2,3)+E8)</f>
        <v>192.168.50.30</v>
      </c>
      <c r="K8" s="3" t="str">
        <f>"192.168.50."&amp;(0+3*POWER(2,3)+E8+1)</f>
        <v>192.168.50.31</v>
      </c>
    </row>
    <row r="9" spans="2:11">
      <c r="B9" s="2" t="s">
        <v>15</v>
      </c>
      <c r="C9" s="3">
        <v>3</v>
      </c>
      <c r="D9" s="3">
        <v>4</v>
      </c>
      <c r="E9" s="3">
        <f t="shared" si="0"/>
        <v>6</v>
      </c>
      <c r="F9" s="3" t="str">
        <f>"192.168.50."&amp;(0+4*POWER(2,3))</f>
        <v>192.168.50.32</v>
      </c>
      <c r="G9" s="3" t="str">
        <f t="shared" si="1"/>
        <v>/29</v>
      </c>
      <c r="H9" s="3" t="str">
        <f t="shared" si="2"/>
        <v>255.255.255.248</v>
      </c>
      <c r="I9" s="3" t="str">
        <f>"192.168.50."&amp;(0+4*POWER(2,3)+1)</f>
        <v>192.168.50.33</v>
      </c>
      <c r="J9" s="3" t="str">
        <f>"192.168.50."&amp;(0+4*POWER(2,3)+E9)</f>
        <v>192.168.50.38</v>
      </c>
      <c r="K9" s="3" t="str">
        <f>"192.168.50."&amp;(0+4*POWER(2,3)+E9+1)</f>
        <v>192.168.50.39</v>
      </c>
    </row>
    <row r="10" spans="2:11">
      <c r="B10" s="2" t="s">
        <v>16</v>
      </c>
      <c r="C10" s="3">
        <v>1</v>
      </c>
      <c r="D10" s="3">
        <v>3</v>
      </c>
      <c r="E10" s="3">
        <f t="shared" si="0"/>
        <v>6</v>
      </c>
      <c r="F10" s="3" t="str">
        <f>"192.168.50."&amp;(0+5*POWER(2,3))</f>
        <v>192.168.50.40</v>
      </c>
      <c r="G10" s="3" t="str">
        <f t="shared" si="1"/>
        <v>/29</v>
      </c>
      <c r="H10" s="3" t="str">
        <f t="shared" si="2"/>
        <v>255.255.255.248</v>
      </c>
      <c r="I10" s="3" t="str">
        <f>"192.168.50."&amp;(0+5*POWER(2,3)+1)</f>
        <v>192.168.50.41</v>
      </c>
      <c r="J10" s="3" t="str">
        <f>"192.168.50."&amp;(0+5*POWER(2,3)+E10)</f>
        <v>192.168.50.46</v>
      </c>
      <c r="K10" s="3" t="str">
        <f>"192.168.50."&amp;(0+5*POWER(2,3)+E10+1)</f>
        <v>192.168.50.47</v>
      </c>
    </row>
    <row r="11" spans="2:11">
      <c r="B11" s="4" t="s">
        <v>17</v>
      </c>
      <c r="C11" s="5">
        <v>2</v>
      </c>
      <c r="D11" s="5">
        <v>3</v>
      </c>
      <c r="E11" s="3">
        <f t="shared" si="0"/>
        <v>6</v>
      </c>
      <c r="F11" s="3" t="str">
        <f>"192.168.50."&amp;(0+6*POWER(2,3))</f>
        <v>192.168.50.48</v>
      </c>
      <c r="G11" s="3" t="str">
        <f t="shared" si="1"/>
        <v>/29</v>
      </c>
      <c r="H11" s="3" t="str">
        <f t="shared" si="2"/>
        <v>255.255.255.248</v>
      </c>
      <c r="I11" s="3" t="str">
        <f>"192.168.50."&amp;(0+6*POWER(2,3)+1)</f>
        <v>192.168.50.49</v>
      </c>
      <c r="J11" s="3" t="str">
        <f>"192.168.50."&amp;(0+6*POWER(2,3)+E11)</f>
        <v>192.168.50.54</v>
      </c>
      <c r="K11" s="3" t="str">
        <f>"192.168.50."&amp;(0+6*POWER(2,3)+E11+1)</f>
        <v>192.168.50.55</v>
      </c>
    </row>
    <row r="12" spans="2:11">
      <c r="B12" s="2" t="s">
        <v>18</v>
      </c>
      <c r="C12" s="3">
        <v>2</v>
      </c>
      <c r="D12" s="3">
        <v>3</v>
      </c>
      <c r="E12" s="3">
        <f t="shared" si="0"/>
        <v>6</v>
      </c>
      <c r="F12" s="3" t="str">
        <f>"192.168.50."&amp;(0+7*POWER(2,3))</f>
        <v>192.168.50.56</v>
      </c>
      <c r="G12" s="3" t="str">
        <f t="shared" si="1"/>
        <v>/29</v>
      </c>
      <c r="H12" s="3" t="str">
        <f t="shared" si="2"/>
        <v>255.255.255.248</v>
      </c>
      <c r="I12" s="3" t="str">
        <f>"192.168.50."&amp;(0+7*POWER(2,3)+1)</f>
        <v>192.168.50.57</v>
      </c>
      <c r="J12" s="3" t="str">
        <f>"192.168.50."&amp;(0+7*POWER(2,3)+E12)</f>
        <v>192.168.50.62</v>
      </c>
      <c r="K12" s="3" t="str">
        <f>"192.168.50."&amp;(0+7*POWER(2,3)+E12+1)</f>
        <v>192.168.50.63</v>
      </c>
    </row>
    <row r="13" spans="2:11">
      <c r="B13" s="4" t="s">
        <v>19</v>
      </c>
      <c r="C13" s="5">
        <v>3</v>
      </c>
      <c r="D13" s="5">
        <v>3</v>
      </c>
      <c r="E13" s="3">
        <f t="shared" si="0"/>
        <v>6</v>
      </c>
      <c r="F13" s="3" t="str">
        <f>"192.168.50."&amp;(0+8*POWER(2,3))</f>
        <v>192.168.50.64</v>
      </c>
      <c r="G13" s="3" t="str">
        <f t="shared" si="1"/>
        <v>/29</v>
      </c>
      <c r="H13" s="3" t="str">
        <f t="shared" si="2"/>
        <v>255.255.255.248</v>
      </c>
      <c r="I13" s="3" t="str">
        <f>"192.168.50."&amp;(0+8*POWER(2,3)+1)</f>
        <v>192.168.50.65</v>
      </c>
      <c r="J13" s="3" t="str">
        <f>"192.168.50."&amp;(0+8*POWER(2,3)+E13)</f>
        <v>192.168.50.70</v>
      </c>
      <c r="K13" s="3" t="str">
        <f>"192.168.50."&amp;(0+8*POWER(2,3)+E13+1)</f>
        <v>192.168.50.71</v>
      </c>
    </row>
    <row r="14" spans="2:11">
      <c r="B14" s="4" t="s">
        <v>20</v>
      </c>
      <c r="C14" s="5">
        <v>3</v>
      </c>
      <c r="D14" s="5">
        <v>3</v>
      </c>
      <c r="E14" s="3">
        <f t="shared" si="0"/>
        <v>6</v>
      </c>
      <c r="F14" s="3" t="str">
        <f>"192.168.50."&amp;(0+9*POWER(2,3))</f>
        <v>192.168.50.72</v>
      </c>
      <c r="G14" s="3" t="str">
        <f t="shared" si="1"/>
        <v>/29</v>
      </c>
      <c r="H14" s="3" t="str">
        <f t="shared" si="2"/>
        <v>255.255.255.248</v>
      </c>
      <c r="I14" s="3" t="str">
        <f>"192.168.50."&amp;(0+9*POWER(2,3)+1)</f>
        <v>192.168.50.73</v>
      </c>
      <c r="J14" s="3" t="str">
        <f>"192.168.50."&amp;(0+9*POWER(2,3)+E14)</f>
        <v>192.168.50.78</v>
      </c>
      <c r="K14" s="3" t="str">
        <f>"192.168.50."&amp;(0+9*POWER(2,3)+E14+1)</f>
        <v>192.168.50.79</v>
      </c>
    </row>
    <row r="15" spans="2:11">
      <c r="B15" s="4" t="s">
        <v>21</v>
      </c>
      <c r="C15" s="5">
        <v>1</v>
      </c>
      <c r="D15" s="5">
        <v>2</v>
      </c>
      <c r="E15" s="5">
        <f>POWER(2,2)-2</f>
        <v>2</v>
      </c>
      <c r="F15" s="3" t="str">
        <f>"192.168.50."&amp;(0+10*POWER(2,3))</f>
        <v>192.168.50.80</v>
      </c>
      <c r="G15" s="3" t="str">
        <f>"/"&amp;(32-LOG(POWER(2,2),2))</f>
        <v>/30</v>
      </c>
      <c r="H15" s="3" t="str">
        <f>"255.255.255."&amp;(BIN2DEC(11111100))</f>
        <v>255.255.255.252</v>
      </c>
      <c r="I15" s="3" t="str">
        <f>"192.168.50."&amp;(0+10*POWER(2,3)+1)</f>
        <v>192.168.50.81</v>
      </c>
      <c r="J15" s="3" t="str">
        <f>"192.168.50."&amp;(0+10*POWER(2,3)+E15)</f>
        <v>192.168.50.82</v>
      </c>
      <c r="K15" s="3" t="str">
        <f>"192.168.50."&amp;(0+10*POWER(2,3)+E15+1)</f>
        <v>192.168.50.83</v>
      </c>
    </row>
    <row r="16" spans="2:11">
      <c r="B16" s="4" t="s">
        <v>22</v>
      </c>
      <c r="C16" s="5">
        <v>1</v>
      </c>
      <c r="D16" s="5">
        <v>2</v>
      </c>
      <c r="E16" s="5">
        <f t="shared" ref="E16:E22" si="3">POWER(2,2)-2</f>
        <v>2</v>
      </c>
      <c r="F16" s="3" t="str">
        <f>"192.168.50."&amp;(0+10*POWER(2,3)+POWER(2,2))</f>
        <v>192.168.50.84</v>
      </c>
      <c r="G16" s="3" t="str">
        <f t="shared" ref="G16:G22" si="4">"/"&amp;(32-LOG(POWER(2,2),2))</f>
        <v>/30</v>
      </c>
      <c r="H16" s="3" t="str">
        <f t="shared" ref="H16:H22" si="5">"255.255.255."&amp;(BIN2DEC(11111100))</f>
        <v>255.255.255.252</v>
      </c>
      <c r="I16" s="3" t="str">
        <f>"192.168.50."&amp;(0+10*POWER(2,3)+POWER(2,2)+1)</f>
        <v>192.168.50.85</v>
      </c>
      <c r="J16" s="3" t="str">
        <f>"192.168.50."&amp;(0+10*POWER(2,3)+POWER(2,2)+E16)</f>
        <v>192.168.50.86</v>
      </c>
      <c r="K16" s="3" t="str">
        <f>"192.168.50."&amp;(0+10*POWER(2,3)+POWER(2,2)+E16+1)</f>
        <v>192.168.50.87</v>
      </c>
    </row>
    <row r="17" spans="2:11">
      <c r="B17" s="4" t="s">
        <v>23</v>
      </c>
      <c r="C17" s="5">
        <v>2</v>
      </c>
      <c r="D17" s="5">
        <v>2</v>
      </c>
      <c r="E17" s="5">
        <f t="shared" si="3"/>
        <v>2</v>
      </c>
      <c r="F17" s="3" t="str">
        <f>"192.168.50."&amp;(0+10*POWER(2,3)+2*POWER(2,2))</f>
        <v>192.168.50.88</v>
      </c>
      <c r="G17" s="3" t="str">
        <f t="shared" si="4"/>
        <v>/30</v>
      </c>
      <c r="H17" s="3" t="str">
        <f t="shared" si="5"/>
        <v>255.255.255.252</v>
      </c>
      <c r="I17" s="3" t="str">
        <f>"192.168.50."&amp;(0+10*POWER(2,3)+2*POWER(2,2)+1)</f>
        <v>192.168.50.89</v>
      </c>
      <c r="J17" s="3" t="str">
        <f>"192.168.50."&amp;(0+10*POWER(2,3)+2*POWER(2,2)+E17)</f>
        <v>192.168.50.90</v>
      </c>
      <c r="K17" s="3" t="str">
        <f>"192.168.50."&amp;(0+10*POWER(2,3)+2*POWER(2,2)+E17+1)</f>
        <v>192.168.50.91</v>
      </c>
    </row>
    <row r="18" spans="2:11">
      <c r="B18" s="2" t="s">
        <v>24</v>
      </c>
      <c r="C18" s="3">
        <v>3</v>
      </c>
      <c r="D18" s="3">
        <v>2</v>
      </c>
      <c r="E18" s="5">
        <f t="shared" si="3"/>
        <v>2</v>
      </c>
      <c r="F18" s="3" t="str">
        <f>"192.168.50."&amp;(0+10*POWER(2,3)+3*POWER(2,2))</f>
        <v>192.168.50.92</v>
      </c>
      <c r="G18" s="3" t="str">
        <f t="shared" si="4"/>
        <v>/30</v>
      </c>
      <c r="H18" s="3" t="str">
        <f t="shared" si="5"/>
        <v>255.255.255.252</v>
      </c>
      <c r="I18" s="3" t="str">
        <f>"192.168.50."&amp;(0+10*POWER(2,3)+3*POWER(2,2)+1)</f>
        <v>192.168.50.93</v>
      </c>
      <c r="J18" s="3" t="str">
        <f>"192.168.50."&amp;(0+10*POWER(2,3)+3*POWER(2,2)+E18)</f>
        <v>192.168.50.94</v>
      </c>
      <c r="K18" s="3" t="str">
        <f>"192.168.50."&amp;(0+10*POWER(2,3)+3*POWER(2,2)+E18+1)</f>
        <v>192.168.50.95</v>
      </c>
    </row>
    <row r="19" spans="2:11">
      <c r="B19" s="4" t="s">
        <v>25</v>
      </c>
      <c r="C19" s="5">
        <v>3</v>
      </c>
      <c r="D19" s="5">
        <v>2</v>
      </c>
      <c r="E19" s="5">
        <f t="shared" si="3"/>
        <v>2</v>
      </c>
      <c r="F19" s="3" t="str">
        <f>"192.168.50."&amp;(0+10*POWER(2,3)+4*POWER(2,2))</f>
        <v>192.168.50.96</v>
      </c>
      <c r="G19" s="3" t="str">
        <f t="shared" si="4"/>
        <v>/30</v>
      </c>
      <c r="H19" s="3" t="str">
        <f t="shared" si="5"/>
        <v>255.255.255.252</v>
      </c>
      <c r="I19" s="3" t="str">
        <f>"192.168.50."&amp;(0+10*POWER(2,3)+4*POWER(2,2)+1)</f>
        <v>192.168.50.97</v>
      </c>
      <c r="J19" s="3" t="str">
        <f>"192.168.50."&amp;(0+10*POWER(2,3)+4*POWER(2,2)+E19)</f>
        <v>192.168.50.98</v>
      </c>
      <c r="K19" s="3" t="str">
        <f>"192.168.50."&amp;(0+10*POWER(2,3)+4*POWER(2,2)+E19+1)</f>
        <v>192.168.50.99</v>
      </c>
    </row>
    <row r="20" spans="2:11">
      <c r="B20" s="6" t="s">
        <v>26</v>
      </c>
      <c r="C20" s="10" t="s">
        <v>27</v>
      </c>
      <c r="D20" s="7">
        <v>2</v>
      </c>
      <c r="E20" s="5">
        <f t="shared" si="3"/>
        <v>2</v>
      </c>
      <c r="F20" s="3" t="str">
        <f>"192.168.50."&amp;(0+10*POWER(2,3)+5*POWER(2,2))</f>
        <v>192.168.50.100</v>
      </c>
      <c r="G20" s="3" t="str">
        <f t="shared" si="4"/>
        <v>/30</v>
      </c>
      <c r="H20" s="3" t="str">
        <f t="shared" si="5"/>
        <v>255.255.255.252</v>
      </c>
      <c r="I20" s="3" t="str">
        <f>"192.168.50."&amp;(0+10*POWER(2,3)+5*POWER(2,2)+1)</f>
        <v>192.168.50.101</v>
      </c>
      <c r="J20" s="3" t="str">
        <f>"192.168.50."&amp;(0+10*POWER(2,3)+5*POWER(2,2)+E20)</f>
        <v>192.168.50.102</v>
      </c>
      <c r="K20" s="3" t="str">
        <f>"192.168.50."&amp;(0+10*POWER(2,3)+5*POWER(2,2)+E20+1)</f>
        <v>192.168.50.103</v>
      </c>
    </row>
    <row r="21" spans="2:11">
      <c r="B21" s="6" t="s">
        <v>28</v>
      </c>
      <c r="C21" s="7" t="s">
        <v>29</v>
      </c>
      <c r="D21" s="7">
        <v>2</v>
      </c>
      <c r="E21" s="5">
        <f t="shared" si="3"/>
        <v>2</v>
      </c>
      <c r="F21" s="3" t="str">
        <f>"192.168.50."&amp;(0+10*POWER(2,3)+6*POWER(2,2))</f>
        <v>192.168.50.104</v>
      </c>
      <c r="G21" s="3" t="str">
        <f t="shared" si="4"/>
        <v>/30</v>
      </c>
      <c r="H21" s="3" t="str">
        <f t="shared" si="5"/>
        <v>255.255.255.252</v>
      </c>
      <c r="I21" s="3" t="str">
        <f>"192.168.50."&amp;(0+10*POWER(2,3)+6*POWER(2,2)+1)</f>
        <v>192.168.50.105</v>
      </c>
      <c r="J21" s="3" t="str">
        <f>"192.168.50."&amp;(0+10*POWER(2,3)+6*POWER(2,2)+E21)</f>
        <v>192.168.50.106</v>
      </c>
      <c r="K21" s="3" t="str">
        <f>"192.168.50."&amp;(0+10*POWER(2,3)+6*POWER(2,2)+E21+1)</f>
        <v>192.168.50.107</v>
      </c>
    </row>
    <row r="22" spans="2:11">
      <c r="B22" s="4" t="s">
        <v>30</v>
      </c>
      <c r="C22" s="5">
        <v>2</v>
      </c>
      <c r="D22" s="5">
        <v>1</v>
      </c>
      <c r="E22" s="5">
        <f t="shared" si="3"/>
        <v>2</v>
      </c>
      <c r="F22" s="3" t="str">
        <f>"192.168.50."&amp;(0+10*POWER(2,3)+7*POWER(2,2))</f>
        <v>192.168.50.108</v>
      </c>
      <c r="G22" s="3" t="str">
        <f t="shared" si="4"/>
        <v>/30</v>
      </c>
      <c r="H22" s="3" t="str">
        <f t="shared" si="5"/>
        <v>255.255.255.252</v>
      </c>
      <c r="I22" s="3" t="str">
        <f>"192.168.50."&amp;(0+10*POWER(2,3)+7*POWER(2,2)+1)</f>
        <v>192.168.50.109</v>
      </c>
      <c r="J22" s="3" t="str">
        <f>"192.168.50."&amp;(0+10*POWER(2,3)+7*POWER(2,2)+E22)</f>
        <v>192.168.50.110</v>
      </c>
      <c r="K22" s="3" t="str">
        <f>"192.168.50."&amp;(0+10*POWER(2,3)+7*POWER(2,2)+E22+1)</f>
        <v>192.168.50.111</v>
      </c>
    </row>
    <row r="23" spans="2:11">
      <c r="B23" s="15" t="s">
        <v>31</v>
      </c>
      <c r="C23" s="16"/>
      <c r="D23" s="16"/>
      <c r="E23" s="17"/>
      <c r="F23" s="8" t="s">
        <v>32</v>
      </c>
      <c r="G23" s="11" t="s">
        <v>33</v>
      </c>
      <c r="H23" s="12"/>
      <c r="I23" s="12"/>
      <c r="J23" s="12"/>
      <c r="K23" s="13"/>
    </row>
    <row r="24" spans="2:11">
      <c r="D24">
        <f>SUM(D5:D22)-4</f>
        <v>47</v>
      </c>
      <c r="E24">
        <f>SUM(E5:E22)</f>
        <v>76</v>
      </c>
    </row>
    <row r="25" spans="2:11"/>
    <row r="27" spans="2:11"/>
    <row r="28" spans="2:11"/>
    <row r="29" spans="2:11"/>
    <row r="30" spans="2:11"/>
    <row r="31" spans="2:11"/>
    <row r="32" spans="2:11"/>
    <row r="33"/>
    <row r="34"/>
    <row r="35"/>
    <row r="36"/>
    <row r="37"/>
    <row r="38"/>
    <row r="39"/>
    <row r="40"/>
    <row r="41"/>
  </sheetData>
  <mergeCells count="3">
    <mergeCell ref="G23:K23"/>
    <mergeCell ref="C2:K2"/>
    <mergeCell ref="B23:E23"/>
  </mergeCells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Orlando Valdez</dc:creator>
  <cp:keywords/>
  <dc:description/>
  <cp:lastModifiedBy/>
  <cp:revision/>
  <dcterms:created xsi:type="dcterms:W3CDTF">2026-06-13T02:16:02Z</dcterms:created>
  <dcterms:modified xsi:type="dcterms:W3CDTF">2026-06-26T11:10:56Z</dcterms:modified>
  <cp:category/>
  <cp:contentStatus/>
</cp:coreProperties>
</file>